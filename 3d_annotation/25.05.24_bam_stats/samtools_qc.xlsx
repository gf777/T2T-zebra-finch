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research\zebrafinch_t2t_article\3d_annotation\"/>
    </mc:Choice>
  </mc:AlternateContent>
  <xr:revisionPtr revIDLastSave="0" documentId="13_ncr:2001_{011BBCED-08B6-422E-A9D9-E21012CD9FAC}" xr6:coauthVersionLast="47" xr6:coauthVersionMax="47" xr10:uidLastSave="{00000000-0000-0000-0000-000000000000}"/>
  <bookViews>
    <workbookView xWindow="12795" yWindow="10440" windowWidth="13110" windowHeight="10545" xr2:uid="{00000000-000D-0000-FFFF-FFFF00000000}"/>
  </bookViews>
  <sheets>
    <sheet name="plot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G12" i="2"/>
  <c r="H12" i="2"/>
  <c r="F12" i="2"/>
  <c r="D3" i="2"/>
  <c r="E3" i="2"/>
  <c r="F3" i="2"/>
  <c r="G3" i="2"/>
  <c r="H3" i="2"/>
  <c r="C3" i="2"/>
</calcChain>
</file>

<file path=xl/sharedStrings.xml><?xml version="1.0" encoding="utf-8"?>
<sst xmlns="http://schemas.openxmlformats.org/spreadsheetml/2006/main" count="17" uniqueCount="15">
  <si>
    <t>Reads</t>
  </si>
  <si>
    <t>total:</t>
  </si>
  <si>
    <t>non-primary:</t>
  </si>
  <si>
    <t>mapped:</t>
  </si>
  <si>
    <t>zero MQ:</t>
  </si>
  <si>
    <t>Bases</t>
  </si>
  <si>
    <t>error rate:</t>
  </si>
  <si>
    <t>dip_bwa</t>
  </si>
  <si>
    <t>dip_bt2</t>
  </si>
  <si>
    <t>mat+Z_bwa</t>
  </si>
  <si>
    <t>mat+Z_bt2</t>
  </si>
  <si>
    <t>pat+WZ_bwa</t>
  </si>
  <si>
    <t>pat+WZ_bt2</t>
  </si>
  <si>
    <t>Run</t>
  </si>
  <si>
    <t>usable: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</si>
</sst>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1" xfId="0" applyNumberFormat="1" applyBorder="1"/>
    <xf numFmtId="3" fontId="0" fillId="0" borderId="0" xfId="0" applyNumberFormat="1"/>
    <xf numFmtId="0" fontId="0" fillId="0" borderId="2" xfId="0" applyBorder="1"/>
    <xf numFmtId="10" fontId="0" fillId="0" borderId="3" xfId="0" applyNumberFormat="1" applyBorder="1"/>
    <xf numFmtId="10" fontId="0" fillId="0" borderId="4" xfId="0" applyNumberFormat="1" applyBorder="1"/>
    <xf numFmtId="0" fontId="0" fillId="0" borderId="6" xfId="0" applyBorder="1"/>
    <xf numFmtId="0" fontId="0" fillId="0" borderId="7" xfId="0" applyBorder="1"/>
    <xf numFmtId="3" fontId="0" fillId="0" borderId="2" xfId="0" applyNumberFormat="1" applyBorder="1"/>
    <xf numFmtId="10" fontId="0" fillId="0" borderId="5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C09E-696F-41B1-8E91-66FA979700B3}">
  <dimension ref="A1:H12"/>
  <sheetViews>
    <sheetView tabSelected="1" zoomScaleNormal="100" workbookViewId="0">
      <selection activeCell="D16" sqref="D16"/>
    </sheetView>
  </sheetViews>
  <sheetFormatPr defaultRowHeight="15" x14ac:dyDescent="0.25"/>
  <cols>
    <col min="2" max="2" width="15.28515625" bestFit="1" customWidth="1"/>
    <col min="3" max="8" width="13.85546875" bestFit="1" customWidth="1"/>
  </cols>
  <sheetData>
    <row r="1" spans="1:8" x14ac:dyDescent="0.25">
      <c r="B1" t="s">
        <v>13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 s="10" t="s">
        <v>0</v>
      </c>
      <c r="B2" s="6" t="s">
        <v>1</v>
      </c>
      <c r="C2" s="1">
        <v>409115394</v>
      </c>
      <c r="D2" s="2">
        <v>409115394</v>
      </c>
      <c r="E2" s="1">
        <v>409115394</v>
      </c>
      <c r="F2" s="2">
        <v>409115394</v>
      </c>
      <c r="G2" s="1">
        <v>409115394</v>
      </c>
      <c r="H2" s="8">
        <v>409115394</v>
      </c>
    </row>
    <row r="3" spans="1:8" x14ac:dyDescent="0.25">
      <c r="A3" s="10"/>
      <c r="B3" s="6" t="s">
        <v>14</v>
      </c>
      <c r="C3" s="1">
        <f t="shared" ref="C3:H3" si="0">C5-(C4+C6)</f>
        <v>161554950</v>
      </c>
      <c r="D3" s="1">
        <f t="shared" si="0"/>
        <v>126065730</v>
      </c>
      <c r="E3" s="1">
        <f t="shared" si="0"/>
        <v>315794346</v>
      </c>
      <c r="F3" s="1">
        <f t="shared" si="0"/>
        <v>194753948</v>
      </c>
      <c r="G3" s="1">
        <f t="shared" si="0"/>
        <v>315709170</v>
      </c>
      <c r="H3" s="1">
        <f t="shared" si="0"/>
        <v>194742720</v>
      </c>
    </row>
    <row r="4" spans="1:8" x14ac:dyDescent="0.25">
      <c r="A4" s="10"/>
      <c r="B4" s="6" t="s">
        <v>2</v>
      </c>
      <c r="C4" s="1">
        <v>72924087</v>
      </c>
      <c r="D4">
        <v>0</v>
      </c>
      <c r="E4" s="1">
        <v>71917358</v>
      </c>
      <c r="F4">
        <v>0</v>
      </c>
      <c r="G4" s="1">
        <v>71954902</v>
      </c>
      <c r="H4" s="3">
        <v>0</v>
      </c>
    </row>
    <row r="5" spans="1:8" x14ac:dyDescent="0.25">
      <c r="A5" s="10"/>
      <c r="B5" s="6" t="s">
        <v>3</v>
      </c>
      <c r="C5" s="1">
        <v>408607736</v>
      </c>
      <c r="D5" s="2">
        <v>292491028</v>
      </c>
      <c r="E5" s="1">
        <v>408231142</v>
      </c>
      <c r="F5" s="2">
        <v>256973843</v>
      </c>
      <c r="G5" s="1">
        <v>408230150</v>
      </c>
      <c r="H5" s="8">
        <v>256938579</v>
      </c>
    </row>
    <row r="6" spans="1:8" x14ac:dyDescent="0.25">
      <c r="A6" s="10"/>
      <c r="B6" s="6" t="s">
        <v>4</v>
      </c>
      <c r="C6" s="1">
        <v>174128699</v>
      </c>
      <c r="D6" s="2">
        <v>166425298</v>
      </c>
      <c r="E6" s="1">
        <v>20519438</v>
      </c>
      <c r="F6" s="2">
        <v>62219895</v>
      </c>
      <c r="G6" s="1">
        <v>20566078</v>
      </c>
      <c r="H6" s="8">
        <v>62195859</v>
      </c>
    </row>
    <row r="7" spans="1:8" x14ac:dyDescent="0.25">
      <c r="A7" s="10" t="s">
        <v>5</v>
      </c>
      <c r="B7" s="6" t="s">
        <v>1</v>
      </c>
      <c r="C7" s="1">
        <v>61679249619</v>
      </c>
      <c r="D7" s="2">
        <v>61679249619</v>
      </c>
      <c r="E7" s="1">
        <v>61679249619</v>
      </c>
      <c r="F7" s="2">
        <v>61679249619</v>
      </c>
      <c r="G7" s="1">
        <v>61679249619</v>
      </c>
      <c r="H7" s="8">
        <v>61679249619</v>
      </c>
    </row>
    <row r="8" spans="1:8" x14ac:dyDescent="0.25">
      <c r="A8" s="10"/>
      <c r="B8" s="6" t="s">
        <v>3</v>
      </c>
      <c r="C8" s="1">
        <v>54096460247</v>
      </c>
      <c r="D8" s="2">
        <v>44142682795</v>
      </c>
      <c r="E8" s="1">
        <v>53860318915</v>
      </c>
      <c r="F8" s="2">
        <v>38783185434</v>
      </c>
      <c r="G8" s="1">
        <v>53856575295</v>
      </c>
      <c r="H8" s="8">
        <v>38777887852</v>
      </c>
    </row>
    <row r="9" spans="1:8" x14ac:dyDescent="0.25">
      <c r="A9" s="10"/>
      <c r="B9" s="7" t="s">
        <v>6</v>
      </c>
      <c r="C9" s="4">
        <v>3.0999999999999999E-3</v>
      </c>
      <c r="D9" s="5">
        <v>2.12E-2</v>
      </c>
      <c r="E9" s="4">
        <v>8.8999999999999999E-3</v>
      </c>
      <c r="F9" s="5">
        <v>2.29E-2</v>
      </c>
      <c r="G9" s="4">
        <v>8.8999999999999999E-3</v>
      </c>
      <c r="H9" s="9">
        <v>2.29E-2</v>
      </c>
    </row>
    <row r="12" spans="1:8" x14ac:dyDescent="0.25">
      <c r="C12">
        <f t="shared" ref="C12:H12" si="1">C3/C2*100</f>
        <v>39.488846513558471</v>
      </c>
      <c r="D12">
        <f t="shared" si="1"/>
        <v>30.814223040455918</v>
      </c>
      <c r="E12">
        <f t="shared" si="1"/>
        <v>77.189553517509538</v>
      </c>
      <c r="F12">
        <f t="shared" si="1"/>
        <v>47.603671447278764</v>
      </c>
      <c r="G12">
        <f t="shared" si="1"/>
        <v>77.168733963601483</v>
      </c>
      <c r="H12">
        <f t="shared" si="1"/>
        <v>47.600926989317841</v>
      </c>
    </row>
  </sheetData>
  <mergeCells count="2">
    <mergeCell ref="A7:A9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Aldhair Medico Pimentel</dc:creator>
  <cp:lastModifiedBy>Jack Medico</cp:lastModifiedBy>
  <dcterms:created xsi:type="dcterms:W3CDTF">2015-06-05T18:17:20Z</dcterms:created>
  <dcterms:modified xsi:type="dcterms:W3CDTF">2025-05-28T23:56:07Z</dcterms:modified>
</cp:coreProperties>
</file>